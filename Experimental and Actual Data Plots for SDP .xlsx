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br\Documents\Fall 2025 Senior Design Project\"/>
    </mc:Choice>
  </mc:AlternateContent>
  <xr:revisionPtr revIDLastSave="0" documentId="13_ncr:1_{FBEA592C-D618-4B80-87A8-A67928AF9C8E}" xr6:coauthVersionLast="47" xr6:coauthVersionMax="47" xr10:uidLastSave="{00000000-0000-0000-0000-000000000000}"/>
  <bookViews>
    <workbookView xWindow="-98" yWindow="-98" windowWidth="21795" windowHeight="14235" xr2:uid="{67F2213B-A3C4-4639-8601-F0C29CD17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C15" i="1"/>
  <c r="D15" i="1"/>
  <c r="E15" i="1"/>
  <c r="F15" i="1"/>
  <c r="B15" i="1"/>
  <c r="B4" i="1"/>
  <c r="B44" i="1" s="1"/>
  <c r="C4" i="1"/>
  <c r="C44" i="1" s="1"/>
  <c r="D4" i="1"/>
  <c r="D44" i="1" s="1"/>
  <c r="E4" i="1"/>
  <c r="E44" i="1" s="1"/>
  <c r="F4" i="1"/>
  <c r="F44" i="1" s="1"/>
  <c r="G4" i="1"/>
  <c r="G44" i="1" s="1"/>
  <c r="H4" i="1"/>
  <c r="H44" i="1" s="1"/>
  <c r="I4" i="1"/>
  <c r="I44" i="1" s="1"/>
  <c r="J4" i="1"/>
  <c r="J44" i="1" s="1"/>
  <c r="K4" i="1"/>
  <c r="K44" i="1" s="1"/>
  <c r="L4" i="1"/>
  <c r="L44" i="1" s="1"/>
  <c r="M4" i="1"/>
  <c r="M44" i="1" s="1"/>
  <c r="N4" i="1"/>
  <c r="N44" i="1" s="1"/>
  <c r="O4" i="1"/>
  <c r="O44" i="1" s="1"/>
  <c r="P4" i="1"/>
  <c r="P44" i="1" s="1"/>
  <c r="Q4" i="1"/>
  <c r="Q44" i="1" s="1"/>
  <c r="R4" i="1"/>
  <c r="R44" i="1" s="1"/>
  <c r="S4" i="1"/>
  <c r="S44" i="1" s="1"/>
  <c r="T4" i="1"/>
  <c r="T44" i="1" s="1"/>
  <c r="U4" i="1"/>
  <c r="U44" i="1" s="1"/>
  <c r="V4" i="1"/>
  <c r="V44" i="1" s="1"/>
  <c r="W4" i="1"/>
  <c r="W44" i="1" s="1"/>
  <c r="X4" i="1"/>
  <c r="X44" i="1" s="1"/>
  <c r="Y4" i="1"/>
  <c r="Y44" i="1" s="1"/>
  <c r="Z4" i="1"/>
  <c r="Z44" i="1" s="1"/>
  <c r="AA4" i="1"/>
  <c r="AA44" i="1" s="1"/>
  <c r="AB4" i="1"/>
  <c r="AB44" i="1" s="1"/>
  <c r="AC4" i="1"/>
  <c r="AC44" i="1" s="1"/>
  <c r="AD4" i="1"/>
  <c r="AD44" i="1" s="1"/>
  <c r="AE4" i="1"/>
  <c r="AE44" i="1" s="1"/>
</calcChain>
</file>

<file path=xl/sharedStrings.xml><?xml version="1.0" encoding="utf-8"?>
<sst xmlns="http://schemas.openxmlformats.org/spreadsheetml/2006/main" count="17" uniqueCount="12">
  <si>
    <t>Time (seconds)</t>
  </si>
  <si>
    <t>Heart Rate (bpm)</t>
  </si>
  <si>
    <t>Blood Oxygen Saturation (%)</t>
  </si>
  <si>
    <t>Core Temperature (F)</t>
  </si>
  <si>
    <t>Core Temperature (C)</t>
  </si>
  <si>
    <t>Heart Rate Error</t>
  </si>
  <si>
    <t>Blood Oxygen Error</t>
  </si>
  <si>
    <t>Core Temp Error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</si>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</sst>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</a:t>
            </a:r>
            <a:r>
              <a:rPr lang="en-US" baseline="0"/>
              <a:t>t Rate Results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Pulse Oximeter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Sheet1!$B$1:$AE$1</c:f>
              <c:numCache>
                <c:formatCode>General</c:formatCode>
                <c:ptCount val="30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76</c:v>
                </c:pt>
                <c:pt idx="4">
                  <c:v>76</c:v>
                </c:pt>
                <c:pt idx="5">
                  <c:v>57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55</c:v>
                </c:pt>
                <c:pt idx="10">
                  <c:v>55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53</c:v>
                </c:pt>
                <c:pt idx="15">
                  <c:v>53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51</c:v>
                </c:pt>
                <c:pt idx="20">
                  <c:v>51</c:v>
                </c:pt>
                <c:pt idx="21">
                  <c:v>51</c:v>
                </c:pt>
                <c:pt idx="22">
                  <c:v>52</c:v>
                </c:pt>
                <c:pt idx="23">
                  <c:v>52</c:v>
                </c:pt>
                <c:pt idx="24">
                  <c:v>52</c:v>
                </c:pt>
                <c:pt idx="25">
                  <c:v>53</c:v>
                </c:pt>
                <c:pt idx="26">
                  <c:v>53</c:v>
                </c:pt>
                <c:pt idx="27">
                  <c:v>54</c:v>
                </c:pt>
                <c:pt idx="28">
                  <c:v>56</c:v>
                </c:pt>
                <c:pt idx="2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1-46FC-967C-8E56CF5C9138}"/>
            </c:ext>
          </c:extLst>
        </c:ser>
        <c:ser>
          <c:idx val="1"/>
          <c:order val="1"/>
          <c:tx>
            <c:v>SynkLinx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Sheet1!$B$11:$AE$11</c:f>
              <c:numCache>
                <c:formatCode>General</c:formatCode>
                <c:ptCount val="30"/>
                <c:pt idx="0">
                  <c:v>51</c:v>
                </c:pt>
                <c:pt idx="1">
                  <c:v>51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64</c:v>
                </c:pt>
                <c:pt idx="11">
                  <c:v>64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62</c:v>
                </c:pt>
                <c:pt idx="22">
                  <c:v>62</c:v>
                </c:pt>
                <c:pt idx="23">
                  <c:v>62</c:v>
                </c:pt>
                <c:pt idx="24">
                  <c:v>62</c:v>
                </c:pt>
                <c:pt idx="25">
                  <c:v>62</c:v>
                </c:pt>
                <c:pt idx="26">
                  <c:v>62</c:v>
                </c:pt>
                <c:pt idx="27">
                  <c:v>62</c:v>
                </c:pt>
                <c:pt idx="28">
                  <c:v>62</c:v>
                </c:pt>
                <c:pt idx="29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1-46FC-967C-8E56CF5C9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0240751"/>
        <c:axId val="1480241231"/>
      </c:lineChart>
      <c:catAx>
        <c:axId val="148024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1231"/>
        <c:crosses val="autoZero"/>
        <c:auto val="1"/>
        <c:lblAlgn val="ctr"/>
        <c:lblOffset val="100"/>
        <c:noMultiLvlLbl val="0"/>
      </c:catAx>
      <c:valAx>
        <c:axId val="14802412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Beats</a:t>
                </a:r>
                <a:r>
                  <a:rPr lang="en-US" baseline="0"/>
                  <a:t> per Minute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4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 Oxygen Level</a:t>
            </a:r>
            <a:r>
              <a:rPr lang="en-US" baseline="0"/>
              <a:t>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Pulse Oximeter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Sheet1!$B$2:$AE$2</c:f>
              <c:numCache>
                <c:formatCode>General</c:formatCode>
                <c:ptCount val="30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94</c:v>
                </c:pt>
                <c:pt idx="5">
                  <c:v>94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97</c:v>
                </c:pt>
                <c:pt idx="18">
                  <c:v>97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97</c:v>
                </c:pt>
                <c:pt idx="27">
                  <c:v>97</c:v>
                </c:pt>
                <c:pt idx="28">
                  <c:v>97</c:v>
                </c:pt>
                <c:pt idx="2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3-47EC-853F-3B07401B3279}"/>
            </c:ext>
          </c:extLst>
        </c:ser>
        <c:ser>
          <c:idx val="1"/>
          <c:order val="1"/>
          <c:tx>
            <c:v>SynkLinx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Sheet1!$B$12:$AE$12</c:f>
              <c:numCache>
                <c:formatCode>General</c:formatCode>
                <c:ptCount val="30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  <c:pt idx="5">
                  <c:v>98</c:v>
                </c:pt>
                <c:pt idx="6">
                  <c:v>97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96</c:v>
                </c:pt>
                <c:pt idx="23">
                  <c:v>96</c:v>
                </c:pt>
                <c:pt idx="24">
                  <c:v>97</c:v>
                </c:pt>
                <c:pt idx="25">
                  <c:v>97</c:v>
                </c:pt>
                <c:pt idx="26">
                  <c:v>97</c:v>
                </c:pt>
                <c:pt idx="27">
                  <c:v>97</c:v>
                </c:pt>
                <c:pt idx="28">
                  <c:v>97</c:v>
                </c:pt>
                <c:pt idx="2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3-47EC-853F-3B07401B3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887247"/>
        <c:axId val="1200883407"/>
      </c:lineChart>
      <c:catAx>
        <c:axId val="120088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83407"/>
        <c:crosses val="autoZero"/>
        <c:auto val="1"/>
        <c:lblAlgn val="ctr"/>
        <c:lblOffset val="100"/>
        <c:noMultiLvlLbl val="0"/>
      </c:catAx>
      <c:valAx>
        <c:axId val="1200883407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Oxygen Saturation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8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 Temperature</a:t>
            </a:r>
            <a:r>
              <a:rPr lang="en-US" baseline="0"/>
              <a:t>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Thermometer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Sheet1!$B$4:$AE$4</c:f>
              <c:numCache>
                <c:formatCode>0.0</c:formatCode>
                <c:ptCount val="30"/>
                <c:pt idx="0">
                  <c:v>38</c:v>
                </c:pt>
                <c:pt idx="1">
                  <c:v>38</c:v>
                </c:pt>
                <c:pt idx="2">
                  <c:v>37.944444444444443</c:v>
                </c:pt>
                <c:pt idx="3">
                  <c:v>37.944444444444443</c:v>
                </c:pt>
                <c:pt idx="4">
                  <c:v>37.944444444444443</c:v>
                </c:pt>
                <c:pt idx="5">
                  <c:v>37.944444444444443</c:v>
                </c:pt>
                <c:pt idx="6">
                  <c:v>37.833333333333329</c:v>
                </c:pt>
                <c:pt idx="7">
                  <c:v>37.833333333333329</c:v>
                </c:pt>
                <c:pt idx="8">
                  <c:v>37.111111111111107</c:v>
                </c:pt>
                <c:pt idx="9">
                  <c:v>37.111111111111107</c:v>
                </c:pt>
                <c:pt idx="10">
                  <c:v>37.277777777777771</c:v>
                </c:pt>
                <c:pt idx="11">
                  <c:v>37.277777777777771</c:v>
                </c:pt>
                <c:pt idx="12">
                  <c:v>37.277777777777771</c:v>
                </c:pt>
                <c:pt idx="13">
                  <c:v>37.277777777777771</c:v>
                </c:pt>
                <c:pt idx="14">
                  <c:v>37.277777777777771</c:v>
                </c:pt>
                <c:pt idx="15">
                  <c:v>37.277777777777771</c:v>
                </c:pt>
                <c:pt idx="16">
                  <c:v>37.277777777777771</c:v>
                </c:pt>
                <c:pt idx="17">
                  <c:v>37.277777777777771</c:v>
                </c:pt>
                <c:pt idx="18">
                  <c:v>37.277777777777771</c:v>
                </c:pt>
                <c:pt idx="19">
                  <c:v>37.277777777777771</c:v>
                </c:pt>
                <c:pt idx="20">
                  <c:v>37.222222222222221</c:v>
                </c:pt>
                <c:pt idx="21">
                  <c:v>37.222222222222221</c:v>
                </c:pt>
                <c:pt idx="22">
                  <c:v>37.166666666666671</c:v>
                </c:pt>
                <c:pt idx="23">
                  <c:v>37.166666666666671</c:v>
                </c:pt>
                <c:pt idx="24">
                  <c:v>37.166666666666671</c:v>
                </c:pt>
                <c:pt idx="25">
                  <c:v>37.166666666666671</c:v>
                </c:pt>
                <c:pt idx="26">
                  <c:v>37.111111111111107</c:v>
                </c:pt>
                <c:pt idx="27">
                  <c:v>37.111111111111107</c:v>
                </c:pt>
                <c:pt idx="28">
                  <c:v>37.111111111111107</c:v>
                </c:pt>
                <c:pt idx="29">
                  <c:v>37.111111111111107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E-46DF-B1DD-E5D6C44E8765}"/>
            </c:ext>
          </c:extLst>
        </c:ser>
        <c:ser>
          <c:idx val="1"/>
          <c:order val="1"/>
          <c:tx>
            <c:v>SynkLinx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Sheet1!$B$14:$AE$14</c:f>
              <c:numCache>
                <c:formatCode>General</c:formatCode>
                <c:ptCount val="30"/>
                <c:pt idx="0">
                  <c:v>36.1</c:v>
                </c:pt>
                <c:pt idx="1">
                  <c:v>36.1</c:v>
                </c:pt>
                <c:pt idx="2">
                  <c:v>36.1</c:v>
                </c:pt>
                <c:pt idx="3">
                  <c:v>36</c:v>
                </c:pt>
                <c:pt idx="4">
                  <c:v>35.9</c:v>
                </c:pt>
                <c:pt idx="5">
                  <c:v>36</c:v>
                </c:pt>
                <c:pt idx="6">
                  <c:v>36.1</c:v>
                </c:pt>
                <c:pt idx="7">
                  <c:v>36.200000000000003</c:v>
                </c:pt>
                <c:pt idx="8">
                  <c:v>36.299999999999997</c:v>
                </c:pt>
                <c:pt idx="9">
                  <c:v>36.299999999999997</c:v>
                </c:pt>
                <c:pt idx="10">
                  <c:v>36.299999999999997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36.299999999999997</c:v>
                </c:pt>
                <c:pt idx="14">
                  <c:v>36.299999999999997</c:v>
                </c:pt>
                <c:pt idx="15">
                  <c:v>36.4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36.299999999999997</c:v>
                </c:pt>
                <c:pt idx="19">
                  <c:v>36.299999999999997</c:v>
                </c:pt>
                <c:pt idx="20">
                  <c:v>36.299999999999997</c:v>
                </c:pt>
                <c:pt idx="21">
                  <c:v>36.299999999999997</c:v>
                </c:pt>
                <c:pt idx="22">
                  <c:v>36.4</c:v>
                </c:pt>
                <c:pt idx="23">
                  <c:v>36.299999999999997</c:v>
                </c:pt>
                <c:pt idx="24">
                  <c:v>36.299999999999997</c:v>
                </c:pt>
                <c:pt idx="25">
                  <c:v>36.200000000000003</c:v>
                </c:pt>
                <c:pt idx="26">
                  <c:v>36.1</c:v>
                </c:pt>
                <c:pt idx="27">
                  <c:v>36.200000000000003</c:v>
                </c:pt>
                <c:pt idx="28">
                  <c:v>36.299999999999997</c:v>
                </c:pt>
                <c:pt idx="29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E-46DF-B1DD-E5D6C44E8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868047"/>
        <c:axId val="1200854607"/>
      </c:lineChart>
      <c:catAx>
        <c:axId val="120086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54607"/>
        <c:crosses val="autoZero"/>
        <c:auto val="1"/>
        <c:lblAlgn val="ctr"/>
        <c:lblOffset val="100"/>
        <c:noMultiLvlLbl val="0"/>
      </c:catAx>
      <c:valAx>
        <c:axId val="1200854607"/>
        <c:scaling>
          <c:orientation val="minMax"/>
          <c:max val="40"/>
          <c:min val="3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24327901720618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68047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636131</xdr:colOff>
      <xdr:row>17</xdr:row>
      <xdr:rowOff>131988</xdr:rowOff>
    </xdr:from>
    <xdr:to>
      <xdr:col>26</xdr:col>
      <xdr:colOff>435426</xdr:colOff>
      <xdr:row>39</xdr:row>
      <xdr:rowOff>102053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80A425-E392-A5C1-9AE1-56C82370A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292552</xdr:colOff>
      <xdr:row>17</xdr:row>
      <xdr:rowOff>136071</xdr:rowOff>
    </xdr:from>
    <xdr:to>
      <xdr:col>15</xdr:col>
      <xdr:colOff>489857</xdr:colOff>
      <xdr:row>39</xdr:row>
      <xdr:rowOff>163285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CD25A2-0241-0232-02B0-BD14DF878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139472</xdr:colOff>
      <xdr:row>20</xdr:row>
      <xdr:rowOff>111578</xdr:rowOff>
    </xdr:from>
    <xdr:to>
      <xdr:col>34</xdr:col>
      <xdr:colOff>187098</xdr:colOff>
      <xdr:row>35</xdr:row>
      <xdr:rowOff>99331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2B7C7F-D560-71C1-CFC0-2DDEFC594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0A02-DDD6-4D83-A064-EC8F4C20745A}">
  <dimension ref="A1:AF44"/>
  <sheetViews>
    <sheetView tabSelected="1" zoomScale="50" zoomScaleNormal="50" workbookViewId="0">
      <selection activeCell="C31" sqref="C31"/>
    </sheetView>
  </sheetViews>
  <sheetFormatPr defaultRowHeight="14.25" x14ac:dyDescent="0.45"/>
  <cols>
    <col min="1" max="1" width="25.59765625" customWidth="1"/>
    <col min="32" max="32" width="20.9296875" customWidth="1"/>
  </cols>
  <sheetData>
    <row r="1" spans="1:32" x14ac:dyDescent="0.45">
      <c r="A1" t="s">
        <v>1</v>
      </c>
      <c r="B1">
        <v>79</v>
      </c>
      <c r="C1">
        <v>79</v>
      </c>
      <c r="D1">
        <v>79</v>
      </c>
      <c r="E1">
        <v>76</v>
      </c>
      <c r="F1">
        <v>76</v>
      </c>
      <c r="G1">
        <v>57</v>
      </c>
      <c r="H1">
        <v>56</v>
      </c>
      <c r="I1">
        <v>56</v>
      </c>
      <c r="J1">
        <v>56</v>
      </c>
      <c r="K1">
        <v>55</v>
      </c>
      <c r="L1">
        <v>55</v>
      </c>
      <c r="M1">
        <v>54</v>
      </c>
      <c r="N1">
        <v>54</v>
      </c>
      <c r="O1">
        <v>54</v>
      </c>
      <c r="P1">
        <v>53</v>
      </c>
      <c r="Q1">
        <v>53</v>
      </c>
      <c r="R1">
        <v>52</v>
      </c>
      <c r="S1">
        <v>52</v>
      </c>
      <c r="T1">
        <v>52</v>
      </c>
      <c r="U1">
        <v>51</v>
      </c>
      <c r="V1">
        <v>51</v>
      </c>
      <c r="W1">
        <v>51</v>
      </c>
      <c r="X1">
        <v>52</v>
      </c>
      <c r="Y1">
        <v>52</v>
      </c>
      <c r="Z1">
        <v>52</v>
      </c>
      <c r="AA1">
        <v>53</v>
      </c>
      <c r="AB1">
        <v>53</v>
      </c>
      <c r="AC1">
        <v>54</v>
      </c>
      <c r="AD1">
        <v>56</v>
      </c>
      <c r="AE1">
        <v>57</v>
      </c>
      <c r="AF1">
        <v>57.666666669999998</v>
      </c>
    </row>
    <row r="2" spans="1:32" x14ac:dyDescent="0.45">
      <c r="A2" t="s">
        <v>2</v>
      </c>
      <c r="B2">
        <v>96</v>
      </c>
      <c r="C2">
        <v>96</v>
      </c>
      <c r="D2">
        <v>96</v>
      </c>
      <c r="E2">
        <v>96</v>
      </c>
      <c r="F2">
        <v>94</v>
      </c>
      <c r="G2">
        <v>94</v>
      </c>
      <c r="H2">
        <v>95</v>
      </c>
      <c r="I2">
        <v>95</v>
      </c>
      <c r="J2">
        <v>95</v>
      </c>
      <c r="K2">
        <v>96</v>
      </c>
      <c r="L2">
        <v>96</v>
      </c>
      <c r="M2">
        <v>96</v>
      </c>
      <c r="N2">
        <v>96</v>
      </c>
      <c r="O2">
        <v>96</v>
      </c>
      <c r="P2">
        <v>96</v>
      </c>
      <c r="Q2">
        <v>96</v>
      </c>
      <c r="R2">
        <v>96</v>
      </c>
      <c r="S2">
        <v>97</v>
      </c>
      <c r="T2">
        <v>97</v>
      </c>
      <c r="U2">
        <v>97</v>
      </c>
      <c r="V2">
        <v>97</v>
      </c>
      <c r="W2">
        <v>97</v>
      </c>
      <c r="X2">
        <v>97</v>
      </c>
      <c r="Y2">
        <v>97</v>
      </c>
      <c r="Z2">
        <v>97</v>
      </c>
      <c r="AA2">
        <v>97</v>
      </c>
      <c r="AB2">
        <v>97</v>
      </c>
      <c r="AC2">
        <v>97</v>
      </c>
      <c r="AD2">
        <v>97</v>
      </c>
      <c r="AE2">
        <v>97</v>
      </c>
      <c r="AF2">
        <v>96.2</v>
      </c>
    </row>
    <row r="4" spans="1:32" x14ac:dyDescent="0.45">
      <c r="A4" t="s">
        <v>4</v>
      </c>
      <c r="B4" s="1">
        <f>(B5 -32)/1.8</f>
        <v>38</v>
      </c>
      <c r="C4" s="1">
        <f t="shared" ref="C4:AE4" si="0">(C5 -32)/1.8</f>
        <v>38</v>
      </c>
      <c r="D4" s="1">
        <f t="shared" si="0"/>
        <v>37.944444444444443</v>
      </c>
      <c r="E4" s="1">
        <f t="shared" si="0"/>
        <v>37.944444444444443</v>
      </c>
      <c r="F4" s="1">
        <f t="shared" si="0"/>
        <v>37.944444444444443</v>
      </c>
      <c r="G4" s="1">
        <f t="shared" si="0"/>
        <v>37.944444444444443</v>
      </c>
      <c r="H4" s="1">
        <f t="shared" si="0"/>
        <v>37.833333333333329</v>
      </c>
      <c r="I4" s="1">
        <f t="shared" si="0"/>
        <v>37.833333333333329</v>
      </c>
      <c r="J4" s="1">
        <f t="shared" si="0"/>
        <v>37.111111111111107</v>
      </c>
      <c r="K4" s="1">
        <f t="shared" si="0"/>
        <v>37.111111111111107</v>
      </c>
      <c r="L4" s="1">
        <f t="shared" si="0"/>
        <v>37.277777777777771</v>
      </c>
      <c r="M4" s="1">
        <f t="shared" si="0"/>
        <v>37.277777777777771</v>
      </c>
      <c r="N4" s="1">
        <f t="shared" si="0"/>
        <v>37.277777777777771</v>
      </c>
      <c r="O4" s="1">
        <f t="shared" si="0"/>
        <v>37.277777777777771</v>
      </c>
      <c r="P4" s="1">
        <f t="shared" si="0"/>
        <v>37.277777777777771</v>
      </c>
      <c r="Q4" s="1">
        <f t="shared" si="0"/>
        <v>37.277777777777771</v>
      </c>
      <c r="R4" s="1">
        <f t="shared" si="0"/>
        <v>37.277777777777771</v>
      </c>
      <c r="S4" s="1">
        <f t="shared" si="0"/>
        <v>37.277777777777771</v>
      </c>
      <c r="T4" s="1">
        <f t="shared" si="0"/>
        <v>37.277777777777771</v>
      </c>
      <c r="U4" s="1">
        <f t="shared" si="0"/>
        <v>37.277777777777771</v>
      </c>
      <c r="V4" s="1">
        <f t="shared" si="0"/>
        <v>37.222222222222221</v>
      </c>
      <c r="W4" s="1">
        <f t="shared" si="0"/>
        <v>37.222222222222221</v>
      </c>
      <c r="X4" s="1">
        <f t="shared" si="0"/>
        <v>37.166666666666671</v>
      </c>
      <c r="Y4" s="1">
        <f t="shared" si="0"/>
        <v>37.166666666666671</v>
      </c>
      <c r="Z4" s="1">
        <f t="shared" si="0"/>
        <v>37.166666666666671</v>
      </c>
      <c r="AA4" s="1">
        <f t="shared" si="0"/>
        <v>37.166666666666671</v>
      </c>
      <c r="AB4" s="1">
        <f t="shared" si="0"/>
        <v>37.111111111111107</v>
      </c>
      <c r="AC4" s="1">
        <f t="shared" si="0"/>
        <v>37.111111111111107</v>
      </c>
      <c r="AD4" s="1">
        <f t="shared" si="0"/>
        <v>37.111111111111107</v>
      </c>
      <c r="AE4" s="1">
        <f t="shared" si="0"/>
        <v>37.111111111111107</v>
      </c>
      <c r="AF4">
        <v>37.4</v>
      </c>
    </row>
    <row r="5" spans="1:32" x14ac:dyDescent="0.45">
      <c r="A5" t="s">
        <v>3</v>
      </c>
      <c r="B5">
        <v>100.4</v>
      </c>
      <c r="C5">
        <v>100.4</v>
      </c>
      <c r="D5">
        <v>100.3</v>
      </c>
      <c r="E5">
        <v>100.3</v>
      </c>
      <c r="F5">
        <v>100.3</v>
      </c>
      <c r="G5">
        <v>100.3</v>
      </c>
      <c r="H5">
        <v>100.1</v>
      </c>
      <c r="I5">
        <v>100.1</v>
      </c>
      <c r="J5">
        <v>98.8</v>
      </c>
      <c r="K5">
        <v>98.8</v>
      </c>
      <c r="L5">
        <v>99.1</v>
      </c>
      <c r="M5">
        <v>99.1</v>
      </c>
      <c r="N5">
        <v>99.1</v>
      </c>
      <c r="O5">
        <v>99.1</v>
      </c>
      <c r="P5">
        <v>99.1</v>
      </c>
      <c r="Q5">
        <v>99.1</v>
      </c>
      <c r="R5">
        <v>99.1</v>
      </c>
      <c r="S5">
        <v>99.1</v>
      </c>
      <c r="T5">
        <v>99.1</v>
      </c>
      <c r="U5">
        <v>99.1</v>
      </c>
      <c r="V5">
        <v>99</v>
      </c>
      <c r="W5">
        <v>99</v>
      </c>
      <c r="X5">
        <v>98.9</v>
      </c>
      <c r="Y5">
        <v>98.9</v>
      </c>
      <c r="Z5">
        <v>98.9</v>
      </c>
      <c r="AA5">
        <v>98.9</v>
      </c>
      <c r="AB5">
        <v>98.8</v>
      </c>
      <c r="AC5">
        <v>98.8</v>
      </c>
      <c r="AD5">
        <v>98.8</v>
      </c>
      <c r="AE5">
        <v>98.8</v>
      </c>
      <c r="AF5">
        <v>99.32</v>
      </c>
    </row>
    <row r="6" spans="1:32" x14ac:dyDescent="0.45">
      <c r="A6" t="s">
        <v>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</row>
    <row r="11" spans="1:32" x14ac:dyDescent="0.45">
      <c r="A11" t="s">
        <v>1</v>
      </c>
      <c r="B11">
        <v>51</v>
      </c>
      <c r="C11">
        <v>51</v>
      </c>
      <c r="D11">
        <v>62</v>
      </c>
      <c r="E11">
        <v>62</v>
      </c>
      <c r="F11">
        <v>62</v>
      </c>
      <c r="G11">
        <v>62</v>
      </c>
      <c r="H11">
        <v>62</v>
      </c>
      <c r="I11">
        <v>62</v>
      </c>
      <c r="J11">
        <v>62</v>
      </c>
      <c r="K11">
        <v>62</v>
      </c>
      <c r="L11">
        <v>64</v>
      </c>
      <c r="M11">
        <v>64</v>
      </c>
      <c r="N11">
        <v>62</v>
      </c>
      <c r="O11">
        <v>62</v>
      </c>
      <c r="P11">
        <v>62</v>
      </c>
      <c r="Q11">
        <v>62</v>
      </c>
      <c r="R11">
        <v>62</v>
      </c>
      <c r="S11">
        <v>62</v>
      </c>
      <c r="T11">
        <v>62</v>
      </c>
      <c r="U11">
        <v>62</v>
      </c>
      <c r="V11">
        <v>62</v>
      </c>
      <c r="W11">
        <v>62</v>
      </c>
      <c r="X11">
        <v>62</v>
      </c>
      <c r="Y11">
        <v>62</v>
      </c>
      <c r="Z11">
        <v>62</v>
      </c>
      <c r="AA11">
        <v>62</v>
      </c>
      <c r="AB11">
        <v>62</v>
      </c>
      <c r="AC11">
        <v>62</v>
      </c>
      <c r="AD11">
        <v>62</v>
      </c>
      <c r="AE11">
        <v>62</v>
      </c>
      <c r="AF11">
        <v>61.4</v>
      </c>
    </row>
    <row r="12" spans="1:32" x14ac:dyDescent="0.45">
      <c r="A12" t="s">
        <v>2</v>
      </c>
      <c r="B12">
        <v>97</v>
      </c>
      <c r="C12">
        <v>97</v>
      </c>
      <c r="D12">
        <v>97</v>
      </c>
      <c r="E12">
        <v>97</v>
      </c>
      <c r="F12">
        <v>97</v>
      </c>
      <c r="G12">
        <v>98</v>
      </c>
      <c r="H12">
        <v>97</v>
      </c>
      <c r="I12">
        <v>96</v>
      </c>
      <c r="J12">
        <v>96</v>
      </c>
      <c r="K12">
        <v>96</v>
      </c>
      <c r="L12">
        <v>96</v>
      </c>
      <c r="M12">
        <v>96</v>
      </c>
      <c r="N12">
        <v>96</v>
      </c>
      <c r="O12">
        <v>96</v>
      </c>
      <c r="P12">
        <v>96</v>
      </c>
      <c r="Q12">
        <v>96</v>
      </c>
      <c r="R12">
        <v>96</v>
      </c>
      <c r="S12">
        <v>96</v>
      </c>
      <c r="T12">
        <v>96</v>
      </c>
      <c r="U12">
        <v>95</v>
      </c>
      <c r="V12">
        <v>95</v>
      </c>
      <c r="W12">
        <v>95</v>
      </c>
      <c r="X12">
        <v>96</v>
      </c>
      <c r="Y12">
        <v>96</v>
      </c>
      <c r="Z12">
        <v>97</v>
      </c>
      <c r="AA12">
        <v>97</v>
      </c>
      <c r="AB12">
        <v>97</v>
      </c>
      <c r="AC12">
        <v>97</v>
      </c>
      <c r="AD12">
        <v>97</v>
      </c>
      <c r="AE12">
        <v>97</v>
      </c>
      <c r="AF12">
        <v>96.366666670000001</v>
      </c>
    </row>
    <row r="14" spans="1:32" x14ac:dyDescent="0.45">
      <c r="A14" t="s">
        <v>4</v>
      </c>
      <c r="B14">
        <v>36.1</v>
      </c>
      <c r="C14">
        <v>36.1</v>
      </c>
      <c r="D14">
        <v>36.1</v>
      </c>
      <c r="E14">
        <v>36</v>
      </c>
      <c r="F14">
        <v>35.9</v>
      </c>
      <c r="G14">
        <v>36</v>
      </c>
      <c r="H14">
        <v>36.1</v>
      </c>
      <c r="I14">
        <v>36.200000000000003</v>
      </c>
      <c r="J14">
        <v>36.299999999999997</v>
      </c>
      <c r="K14">
        <v>36.299999999999997</v>
      </c>
      <c r="L14">
        <v>36.299999999999997</v>
      </c>
      <c r="M14">
        <v>36.299999999999997</v>
      </c>
      <c r="N14">
        <v>36.299999999999997</v>
      </c>
      <c r="O14">
        <v>36.299999999999997</v>
      </c>
      <c r="P14">
        <v>36.299999999999997</v>
      </c>
      <c r="Q14">
        <v>36.4</v>
      </c>
      <c r="R14">
        <v>36.299999999999997</v>
      </c>
      <c r="S14">
        <v>36.299999999999997</v>
      </c>
      <c r="T14">
        <v>36.299999999999997</v>
      </c>
      <c r="U14">
        <v>36.299999999999997</v>
      </c>
      <c r="V14">
        <v>36.299999999999997</v>
      </c>
      <c r="W14">
        <v>36.299999999999997</v>
      </c>
      <c r="X14">
        <v>36.4</v>
      </c>
      <c r="Y14">
        <v>36.299999999999997</v>
      </c>
      <c r="Z14">
        <v>36.299999999999997</v>
      </c>
      <c r="AA14">
        <v>36.200000000000003</v>
      </c>
      <c r="AB14">
        <v>36.1</v>
      </c>
      <c r="AC14">
        <v>36.200000000000003</v>
      </c>
      <c r="AD14">
        <v>36.299999999999997</v>
      </c>
      <c r="AE14">
        <v>36.4</v>
      </c>
      <c r="AF14">
        <v>36.233333330000001</v>
      </c>
    </row>
    <row r="15" spans="1:32" x14ac:dyDescent="0.45">
      <c r="A15" t="s">
        <v>3</v>
      </c>
      <c r="B15">
        <f>(B14 * 1.8 )+ 32</f>
        <v>96.98</v>
      </c>
      <c r="C15">
        <f t="shared" ref="C15:G15" si="1">(C14 * 1.8 )+ 32</f>
        <v>96.98</v>
      </c>
      <c r="D15">
        <f t="shared" si="1"/>
        <v>96.98</v>
      </c>
      <c r="E15">
        <f t="shared" si="1"/>
        <v>96.8</v>
      </c>
      <c r="F15">
        <f t="shared" si="1"/>
        <v>96.62</v>
      </c>
      <c r="G15">
        <f t="shared" si="1"/>
        <v>96.8</v>
      </c>
      <c r="H15">
        <f t="shared" ref="H15" si="2">(H14 * 1.8 )+ 32</f>
        <v>96.98</v>
      </c>
      <c r="I15">
        <f t="shared" ref="I15" si="3">(I14 * 1.8 )+ 32</f>
        <v>97.160000000000011</v>
      </c>
      <c r="J15">
        <f t="shared" ref="J15" si="4">(J14 * 1.8 )+ 32</f>
        <v>97.34</v>
      </c>
      <c r="K15">
        <f t="shared" ref="K15:L15" si="5">(K14 * 1.8 )+ 32</f>
        <v>97.34</v>
      </c>
      <c r="L15">
        <f t="shared" si="5"/>
        <v>97.34</v>
      </c>
      <c r="M15">
        <f t="shared" ref="M15" si="6">(M14 * 1.8 )+ 32</f>
        <v>97.34</v>
      </c>
      <c r="N15">
        <f t="shared" ref="N15" si="7">(N14 * 1.8 )+ 32</f>
        <v>97.34</v>
      </c>
      <c r="O15">
        <f t="shared" ref="O15" si="8">(O14 * 1.8 )+ 32</f>
        <v>97.34</v>
      </c>
      <c r="P15">
        <f t="shared" ref="P15:Q15" si="9">(P14 * 1.8 )+ 32</f>
        <v>97.34</v>
      </c>
      <c r="Q15">
        <f t="shared" si="9"/>
        <v>97.52</v>
      </c>
      <c r="R15">
        <f t="shared" ref="R15" si="10">(R14 * 1.8 )+ 32</f>
        <v>97.34</v>
      </c>
      <c r="S15">
        <f t="shared" ref="S15" si="11">(S14 * 1.8 )+ 32</f>
        <v>97.34</v>
      </c>
      <c r="T15">
        <f t="shared" ref="T15" si="12">(T14 * 1.8 )+ 32</f>
        <v>97.34</v>
      </c>
      <c r="U15">
        <f t="shared" ref="U15:V15" si="13">(U14 * 1.8 )+ 32</f>
        <v>97.34</v>
      </c>
      <c r="V15">
        <f t="shared" si="13"/>
        <v>97.34</v>
      </c>
      <c r="W15">
        <f t="shared" ref="W15" si="14">(W14 * 1.8 )+ 32</f>
        <v>97.34</v>
      </c>
      <c r="X15">
        <f t="shared" ref="X15" si="15">(X14 * 1.8 )+ 32</f>
        <v>97.52</v>
      </c>
      <c r="Y15">
        <f t="shared" ref="Y15" si="16">(Y14 * 1.8 )+ 32</f>
        <v>97.34</v>
      </c>
      <c r="Z15">
        <f t="shared" ref="Z15:AA15" si="17">(Z14 * 1.8 )+ 32</f>
        <v>97.34</v>
      </c>
      <c r="AA15">
        <f t="shared" si="17"/>
        <v>97.160000000000011</v>
      </c>
      <c r="AB15">
        <f t="shared" ref="AB15" si="18">(AB14 * 1.8 )+ 32</f>
        <v>96.98</v>
      </c>
      <c r="AC15">
        <f t="shared" ref="AC15" si="19">(AC14 * 1.8 )+ 32</f>
        <v>97.160000000000011</v>
      </c>
      <c r="AD15">
        <f t="shared" ref="AD15" si="20">(AD14 * 1.8 )+ 32</f>
        <v>97.34</v>
      </c>
      <c r="AE15">
        <f t="shared" ref="AE15" si="21">(AE14 * 1.8 )+ 32</f>
        <v>97.52</v>
      </c>
      <c r="AF15">
        <v>97.22</v>
      </c>
    </row>
    <row r="42" spans="1:31" x14ac:dyDescent="0.45">
      <c r="A42" t="s">
        <v>5</v>
      </c>
      <c r="B42">
        <f xml:space="preserve"> ((B1- B11)/B11) * 100</f>
        <v>54.901960784313729</v>
      </c>
      <c r="C42">
        <f xml:space="preserve"> ((C1 - C11)/C11) * 100</f>
        <v>54.901960784313729</v>
      </c>
      <c r="D42">
        <f xml:space="preserve"> ((D1 - D11)/D11) * 100</f>
        <v>27.419354838709676</v>
      </c>
      <c r="E42">
        <f xml:space="preserve"> ((E1 - E11)/E11) * 100</f>
        <v>22.58064516129032</v>
      </c>
      <c r="F42">
        <f xml:space="preserve"> ((F1 - F11)/F11) * 100</f>
        <v>22.58064516129032</v>
      </c>
      <c r="G42">
        <f xml:space="preserve"> ((G1 - G11)/G11) * 100</f>
        <v>-8.064516129032258</v>
      </c>
      <c r="H42">
        <f xml:space="preserve"> ((H1 - H11)/H11) * 100</f>
        <v>-9.67741935483871</v>
      </c>
      <c r="I42">
        <f xml:space="preserve"> ((I1 - I11)/I11) * 100</f>
        <v>-9.67741935483871</v>
      </c>
      <c r="J42">
        <f xml:space="preserve"> ((J1 - J11)/J11) * 100</f>
        <v>-9.67741935483871</v>
      </c>
      <c r="K42">
        <f xml:space="preserve"> ((K1 - K11)/K11) * 100</f>
        <v>-11.29032258064516</v>
      </c>
      <c r="L42">
        <f xml:space="preserve"> ((L1 - L11)/L11) * 100</f>
        <v>-14.0625</v>
      </c>
      <c r="M42">
        <f xml:space="preserve"> ((M1 - M11)/M11) * 100</f>
        <v>-15.625</v>
      </c>
      <c r="N42">
        <f xml:space="preserve"> ((N1 - N11)/N11) * 100</f>
        <v>-12.903225806451612</v>
      </c>
      <c r="O42">
        <f xml:space="preserve"> ((O1 - O11)/O11) * 100</f>
        <v>-12.903225806451612</v>
      </c>
      <c r="P42">
        <f xml:space="preserve"> ((P1 - P11)/P11) * 100</f>
        <v>-14.516129032258066</v>
      </c>
      <c r="Q42">
        <f xml:space="preserve"> ((Q1 - Q11)/Q11) * 100</f>
        <v>-14.516129032258066</v>
      </c>
      <c r="R42">
        <f xml:space="preserve"> ((R1 - R11)/R11) * 100</f>
        <v>-16.129032258064516</v>
      </c>
      <c r="S42">
        <f xml:space="preserve"> ((S1 - S11)/S11) * 100</f>
        <v>-16.129032258064516</v>
      </c>
      <c r="T42">
        <f xml:space="preserve"> ((T1 - T11)/T11) * 100</f>
        <v>-16.129032258064516</v>
      </c>
      <c r="U42">
        <f xml:space="preserve"> ((U1 - U11)/U11) * 100</f>
        <v>-17.741935483870968</v>
      </c>
      <c r="V42">
        <f xml:space="preserve"> ((V1 - V11)/V11) * 100</f>
        <v>-17.741935483870968</v>
      </c>
      <c r="W42">
        <f xml:space="preserve"> ((W1 - W11)/W11) * 100</f>
        <v>-17.741935483870968</v>
      </c>
      <c r="X42">
        <f xml:space="preserve"> ((X1 - X11)/X11) * 100</f>
        <v>-16.129032258064516</v>
      </c>
      <c r="Y42">
        <f xml:space="preserve"> ((Y1 - Y11)/Y11) * 100</f>
        <v>-16.129032258064516</v>
      </c>
      <c r="Z42">
        <f xml:space="preserve"> ((Z1 - Z11)/Z11) * 100</f>
        <v>-16.129032258064516</v>
      </c>
      <c r="AA42">
        <f xml:space="preserve"> ((AA1 - AA11)/AA11) * 100</f>
        <v>-14.516129032258066</v>
      </c>
      <c r="AB42">
        <f xml:space="preserve"> ((AB1 - AB11)/AB11) * 100</f>
        <v>-14.516129032258066</v>
      </c>
      <c r="AC42">
        <f xml:space="preserve"> ((AC1 - AC11)/AC11) * 100</f>
        <v>-12.903225806451612</v>
      </c>
      <c r="AD42">
        <f xml:space="preserve"> ((AD1 - AD11)/AD11) * 100</f>
        <v>-9.67741935483871</v>
      </c>
      <c r="AE42">
        <f xml:space="preserve"> ((AE1 - AE11)/AE11) * 100</f>
        <v>-8.064516129032258</v>
      </c>
    </row>
    <row r="43" spans="1:31" x14ac:dyDescent="0.45">
      <c r="A43" t="s">
        <v>6</v>
      </c>
      <c r="B43">
        <f>((B2 - B12)/B12) * 100</f>
        <v>-1.0309278350515463</v>
      </c>
      <c r="C43">
        <f>((C2 - C12)/C12) * 100</f>
        <v>-1.0309278350515463</v>
      </c>
      <c r="D43">
        <f>((D2 - D12)/D12) * 100</f>
        <v>-1.0309278350515463</v>
      </c>
      <c r="E43">
        <f>((E2 - E12)/E12) * 100</f>
        <v>-1.0309278350515463</v>
      </c>
      <c r="F43">
        <f>((F2 - F12)/F12) * 100</f>
        <v>-3.0927835051546393</v>
      </c>
      <c r="G43">
        <f>((G2 - G12)/G12) * 100</f>
        <v>-4.0816326530612246</v>
      </c>
      <c r="H43">
        <f>((H2 - H12)/H12) * 100</f>
        <v>-2.0618556701030926</v>
      </c>
      <c r="I43">
        <f>((I2 - I12)/I12) * 100</f>
        <v>-1.0416666666666665</v>
      </c>
      <c r="J43">
        <f>((J2 - J12)/J12) * 100</f>
        <v>-1.0416666666666665</v>
      </c>
      <c r="K43">
        <f>((K2 - K12)/K12) * 100</f>
        <v>0</v>
      </c>
      <c r="L43">
        <f>((L2 - L12)/L12) * 100</f>
        <v>0</v>
      </c>
      <c r="M43">
        <f>((M2 - M12)/M12) * 100</f>
        <v>0</v>
      </c>
      <c r="N43">
        <f>((N2 - N12)/N12) * 100</f>
        <v>0</v>
      </c>
      <c r="O43">
        <f>((O2 - O12)/O12) * 100</f>
        <v>0</v>
      </c>
      <c r="P43">
        <f>((P2 - P12)/P12) * 100</f>
        <v>0</v>
      </c>
      <c r="Q43">
        <f>((Q2 - Q12)/Q12) * 100</f>
        <v>0</v>
      </c>
      <c r="R43">
        <f>((R2 - R12)/R12) * 100</f>
        <v>0</v>
      </c>
      <c r="S43">
        <f>((S2 - S12)/S12) * 100</f>
        <v>1.0416666666666665</v>
      </c>
      <c r="T43">
        <f>((T2 - T12)/T12) * 100</f>
        <v>1.0416666666666665</v>
      </c>
      <c r="U43">
        <f>((U2 - U12)/U12) * 100</f>
        <v>2.1052631578947367</v>
      </c>
      <c r="V43">
        <f>((V2 - V12)/V12) * 100</f>
        <v>2.1052631578947367</v>
      </c>
      <c r="W43">
        <f>((W2 - W12)/W12) * 100</f>
        <v>2.1052631578947367</v>
      </c>
      <c r="X43">
        <f>((X2 - X12)/X12) * 100</f>
        <v>1.0416666666666665</v>
      </c>
      <c r="Y43">
        <f>((Y2 - Y12)/Y12) * 100</f>
        <v>1.0416666666666665</v>
      </c>
      <c r="Z43">
        <f>((Z2 - Z12)/Z12) * 100</f>
        <v>0</v>
      </c>
      <c r="AA43">
        <f>((AA2 - AA12)/AA12) * 100</f>
        <v>0</v>
      </c>
      <c r="AB43">
        <f>((AB2 - AB12)/AB12) * 100</f>
        <v>0</v>
      </c>
      <c r="AC43">
        <f>((AC2 - AC12)/AC12) * 100</f>
        <v>0</v>
      </c>
      <c r="AD43">
        <f>((AD2 - AD12)/AD12) * 100</f>
        <v>0</v>
      </c>
      <c r="AE43">
        <f>((AE2 - AE12)/AE12) * 100</f>
        <v>0</v>
      </c>
    </row>
    <row r="44" spans="1:31" x14ac:dyDescent="0.45">
      <c r="A44" t="s">
        <v>7</v>
      </c>
      <c r="B44">
        <f>((B4-B14)/B14) *100</f>
        <v>5.263157894736838</v>
      </c>
      <c r="C44">
        <f>((C4-C14)/C14) *100</f>
        <v>5.263157894736838</v>
      </c>
      <c r="D44">
        <f>((D4-D14)/D14) *100</f>
        <v>5.1092643890427736</v>
      </c>
      <c r="E44">
        <f>((E4-E14)/E14) *100</f>
        <v>5.4012345679012297</v>
      </c>
      <c r="F44">
        <f>((F4-F14)/F14) *100</f>
        <v>5.6948313215722681</v>
      </c>
      <c r="G44">
        <f>((G4-G14)/G14) *100</f>
        <v>5.4012345679012297</v>
      </c>
      <c r="H44">
        <f>((H4-H14)/H14) *100</f>
        <v>4.8014773776546456</v>
      </c>
      <c r="I44">
        <f>((I4-I14)/I14) *100</f>
        <v>4.5119705340699605</v>
      </c>
      <c r="J44">
        <f>((J4-J14)/J14) *100</f>
        <v>2.2344658708295042</v>
      </c>
      <c r="K44">
        <f>((K4-K14)/K14) *100</f>
        <v>2.2344658708295042</v>
      </c>
      <c r="L44">
        <f>((L4-L14)/L14) *100</f>
        <v>2.693602693602684</v>
      </c>
      <c r="M44">
        <f>((M4-M14)/M14) *100</f>
        <v>2.693602693602684</v>
      </c>
      <c r="N44">
        <f>((N4-N14)/N14) *100</f>
        <v>2.693602693602684</v>
      </c>
      <c r="O44">
        <f>((O4-O14)/O14) *100</f>
        <v>2.693602693602684</v>
      </c>
      <c r="P44">
        <f>((P4-P14)/P14) *100</f>
        <v>2.693602693602684</v>
      </c>
      <c r="Q44">
        <f>((Q4-Q14)/Q14) *100</f>
        <v>2.411477411477398</v>
      </c>
      <c r="R44">
        <f>((R4-R14)/R14) *100</f>
        <v>2.693602693602684</v>
      </c>
      <c r="S44">
        <f>((S4-S14)/S14) *100</f>
        <v>2.693602693602684</v>
      </c>
      <c r="T44">
        <f>((T4-T14)/T14) *100</f>
        <v>2.693602693602684</v>
      </c>
      <c r="U44">
        <f>((U4-U14)/U14) *100</f>
        <v>2.693602693602684</v>
      </c>
      <c r="V44">
        <f>((V4-V14)/V14) *100</f>
        <v>2.5405570860116371</v>
      </c>
      <c r="W44">
        <f>((W4-W14)/W14) *100</f>
        <v>2.5405570860116371</v>
      </c>
      <c r="X44">
        <f>((X4-X14)/X14) *100</f>
        <v>2.1062271062271232</v>
      </c>
      <c r="Y44">
        <f>((Y4-Y14)/Y14) *100</f>
        <v>2.3875114784205906</v>
      </c>
      <c r="Z44">
        <f>((Z4-Z14)/Z14) *100</f>
        <v>2.3875114784205906</v>
      </c>
      <c r="AA44">
        <f>((AA4-AA14)/AA14) *100</f>
        <v>2.6703499079189736</v>
      </c>
      <c r="AB44">
        <f>((AB4-AB14)/AB14) *100</f>
        <v>2.800861803631872</v>
      </c>
      <c r="AC44">
        <f>((AC4-AC14)/AC14) *100</f>
        <v>2.5168815224063654</v>
      </c>
      <c r="AD44">
        <f>((AD4-AD14)/AD14) *100</f>
        <v>2.2344658708295042</v>
      </c>
      <c r="AE44">
        <f>((AE4-AE14)/AE14) *100</f>
        <v>1.9536019536019467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8D1B15-0D98-4891-93EF-588BB5F80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Abron</dc:creator>
  <cp:lastModifiedBy>Jordan Abron</cp:lastModifiedBy>
  <dcterms:created xsi:type="dcterms:W3CDTF">2025-12-03T18:36:07Z</dcterms:created>
  <dcterms:modified xsi:type="dcterms:W3CDTF">2025-12-11T00:34:00Z</dcterms:modified>
</cp:coreProperties>
</file>